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Comps" sheetId="2" state="visible" r:id="rId4"/>
    <sheet name="PE_vs_Growth" sheetId="3" state="visible" r:id="rId5"/>
    <sheet name="KVB_Quarterly" sheetId="4" state="visible" r:id="rId6"/>
    <sheet name="Q2FY27_Results_Da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<sst xmlns="http://schemas.openxmlformats.org/spreadsheetml/2006/main" count="125" uniqueCount="85">
  <si>
    <t xml:space="preserve">BFSI comps &amp; KVB results tracker - generated by bfsi_toolkit.py</t>
  </si>
  <si>
    <t xml:space="preserve">Comps / PE_vs_Growth: Python output (re-run the script after editing data/peers.csv).</t>
  </si>
  <si>
    <t xml:space="preserve">KVB_Quarterly: raw numbers in blue; growth rows are live formulas.</t>
  </si>
  <si>
    <t xml:space="preserve">Q2FY27_Results_Day: type reported numbers into the yellow cells on 15-Oct-2026; variance and verdict update.</t>
  </si>
  <si>
    <t xml:space="preserve">Data: Screener.in industry table and company pages (30-Sep-2026). Student project - not investment advice.</t>
  </si>
  <si>
    <t xml:space="preserve">bank</t>
  </si>
  <si>
    <t xml:space="preserve">size</t>
  </si>
  <si>
    <t xml:space="preserve">cmp</t>
  </si>
  <si>
    <t xml:space="preserve">mcap_cr</t>
  </si>
  <si>
    <t xml:space="preserve">pe_ttm</t>
  </si>
  <si>
    <t xml:space="preserve">pe_pctile</t>
  </si>
  <si>
    <t xml:space="preserve">pat_yoy_pct</t>
  </si>
  <si>
    <t xml:space="preserve">growth_pctile</t>
  </si>
  <si>
    <t xml:space="preserve">earnings_yield_pct</t>
  </si>
  <si>
    <t xml:space="preserve">div_yield_pct</t>
  </si>
  <si>
    <t xml:space="preserve">bvps</t>
  </si>
  <si>
    <t xml:space="preserve">roe_pct</t>
  </si>
  <si>
    <t xml:space="preserve">pb</t>
  </si>
  <si>
    <t xml:space="preserve">HDFC Bank</t>
  </si>
  <si>
    <t xml:space="preserve">Large</t>
  </si>
  <si>
    <t xml:space="preserve">ICICI Bank</t>
  </si>
  <si>
    <t xml:space="preserve">Kotak Mahindra Bank</t>
  </si>
  <si>
    <t xml:space="preserve">Axis Bank</t>
  </si>
  <si>
    <t xml:space="preserve">IDBI Bank</t>
  </si>
  <si>
    <t xml:space="preserve">Mid</t>
  </si>
  <si>
    <t xml:space="preserve">Federal Bank</t>
  </si>
  <si>
    <t xml:space="preserve">IndusInd Bank</t>
  </si>
  <si>
    <t xml:space="preserve">IDFC First Bank</t>
  </si>
  <si>
    <t xml:space="preserve">Yes Bank</t>
  </si>
  <si>
    <t xml:space="preserve">RBL Bank</t>
  </si>
  <si>
    <t xml:space="preserve">Karur Vysya Bank</t>
  </si>
  <si>
    <t xml:space="preserve">Small</t>
  </si>
  <si>
    <t xml:space="preserve">Bandhan Bank</t>
  </si>
  <si>
    <t xml:space="preserve">City Union Bank</t>
  </si>
  <si>
    <t xml:space="preserve">J&amp;K Bank</t>
  </si>
  <si>
    <t xml:space="preserve">Tamilnad Mercantile Bank</t>
  </si>
  <si>
    <t xml:space="preserve">South Indian Bank</t>
  </si>
  <si>
    <t xml:space="preserve">Karnataka Bank</t>
  </si>
  <si>
    <t xml:space="preserve">DCB Bank</t>
  </si>
  <si>
    <t xml:space="preserve">CSB Bank</t>
  </si>
  <si>
    <t xml:space="preserve">Dhanlaxmi Bank</t>
  </si>
  <si>
    <t xml:space="preserve">pe_fitted</t>
  </si>
  <si>
    <t xml:space="preserve">pe_residual</t>
  </si>
  <si>
    <t xml:space="preserve">in_fit</t>
  </si>
  <si>
    <t xml:space="preserve">Fit on 15 banks: P/E = 13.57 + -0.010 x growth(%), R-squared 0.00. Negative residual = cheap for its growth.</t>
  </si>
  <si>
    <t xml:space="preserve">Rs crore</t>
  </si>
  <si>
    <t xml:space="preserve">Jun-23</t>
  </si>
  <si>
    <t xml:space="preserve">Sep-23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</si>
  <si>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</si>
  <si>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</si>
  <si>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</si>
  <si>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</si>
  <si>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</si>
  <si>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</si>
  <si>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</si>
  <si>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</si>
  <si>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</si>
  <si>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</si>
  <si>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</si>
  <si>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nii</t>
  </si>
  <si>
    <t xml:space="preserve">other_income</t>
  </si>
  <si>
    <t xml:space="preserve">pbt</t>
  </si>
  <si>
    <t xml:space="preserve">net_profit</t>
  </si>
  <si>
    <t xml:space="preserve">gnpa_pct</t>
  </si>
  <si>
    <t xml:space="preserve">nnpa_pct</t>
  </si>
  <si>
    <t xml:space="preserve">nii YoY</t>
  </si>
  <si>
    <t xml:space="preserve">nii QoQ</t>
  </si>
  <si>
    <t xml:space="preserve">net_profit YoY</t>
  </si>
  <si>
    <t xml:space="preserve">net_profit QoQ</t>
  </si>
  <si>
    <t xml:space="preserve">Metric (Rs crore, Screener basis)</t>
  </si>
  <si>
    <t xml:space="preserve">FY27E (model)</t>
  </si>
  <si>
    <t xml:space="preserve">Q1 FY27 actual</t>
  </si>
  <si>
    <t xml:space="preserve">Q2 FY27E = (FY27E - Q1) / 3</t>
  </si>
  <si>
    <t xml:space="preserve">Q2 FY26 actual</t>
  </si>
  <si>
    <t xml:space="preserve">Implied YoY</t>
  </si>
  <si>
    <t xml:space="preserve">Q2 FY27 ACTUAL (type here)</t>
  </si>
  <si>
    <t xml:space="preserve">Variance vs estimate</t>
  </si>
  <si>
    <t xml:space="preserve">Verdict (+/-3%)</t>
  </si>
  <si>
    <t xml:space="preserve">NII (Screener basis)</t>
  </si>
  <si>
    <t xml:space="preserve">Other income</t>
  </si>
  <si>
    <t xml:space="preserve">PBT</t>
  </si>
  <si>
    <t xml:space="preserve">Net profit</t>
  </si>
  <si>
    <t xml:space="preserve">Example of a filled row (Q1 FY27 net profit vs a naive Q4 FY26 run-rate):</t>
  </si>
  <si>
    <t xml:space="preserve">Net profit (example)</t>
  </si>
  <si>
    <t xml:space="preserve">Legend: blue = data, black = formula, yellow = type the reported number. Estimates spread the model's FY27E remainder evenly over Q2-Q4.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</si>
</sst>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"/>
    <numFmt numFmtId="167" formatCode="0.0"/>
    <numFmt numFmtId="168" formatCode="0"/>
    <numFmt numFmtId="169" formatCode="0.00"/>
    <numFmt numFmtId="170" formatCode="General"/>
    <numFmt numFmtId="171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2"/>
  </cols>
  <sheetData>
    <row r="1" customFormat="false" ht="22.3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</row>
    <row r="2" customFormat="false" ht="15" hidden="false" customHeight="false" outlineLevel="0" collapsed="false">
      <c r="A2" s="4" t="s">
        <v>18</v>
      </c>
      <c r="B2" s="4" t="s">
        <v>19</v>
      </c>
      <c r="C2" s="5" t="n">
        <v>720</v>
      </c>
      <c r="D2" s="6" t="n">
        <v>1110447.87</v>
      </c>
      <c r="E2" s="7" t="n">
        <v>14.06</v>
      </c>
      <c r="F2" s="8" t="n">
        <v>55</v>
      </c>
      <c r="G2" s="7" t="n">
        <v>18.37</v>
      </c>
      <c r="H2" s="8" t="n">
        <v>25</v>
      </c>
      <c r="I2" s="7" t="n">
        <v>7.11237553342817</v>
      </c>
      <c r="J2" s="9" t="n">
        <v>1.81</v>
      </c>
      <c r="K2" s="4" t="n">
        <v>390</v>
      </c>
      <c r="L2" s="4" t="n">
        <v>13.6</v>
      </c>
      <c r="M2" s="9" t="n">
        <v>1.84615384615385</v>
      </c>
    </row>
    <row r="3" customFormat="false" ht="15" hidden="false" customHeight="false" outlineLevel="0" collapsed="false">
      <c r="A3" s="4" t="s">
        <v>20</v>
      </c>
      <c r="B3" s="4" t="s">
        <v>19</v>
      </c>
      <c r="C3" s="5" t="n">
        <v>1292.6</v>
      </c>
      <c r="D3" s="6" t="n">
        <v>928459.56</v>
      </c>
      <c r="E3" s="7" t="n">
        <v>16.56</v>
      </c>
      <c r="F3" s="8" t="n">
        <v>65</v>
      </c>
      <c r="G3" s="7" t="n">
        <v>13.88</v>
      </c>
      <c r="H3" s="8" t="n">
        <v>15</v>
      </c>
      <c r="I3" s="7" t="n">
        <v>6.03864734299517</v>
      </c>
      <c r="J3" s="9" t="n">
        <v>0.93</v>
      </c>
      <c r="K3" s="4"/>
      <c r="L3" s="4"/>
      <c r="M3" s="9"/>
    </row>
    <row r="4" customFormat="false" ht="15" hidden="false" customHeight="false" outlineLevel="0" collapsed="false">
      <c r="A4" s="4" t="s">
        <v>21</v>
      </c>
      <c r="B4" s="4" t="s">
        <v>19</v>
      </c>
      <c r="C4" s="5" t="n">
        <v>406</v>
      </c>
      <c r="D4" s="6" t="n">
        <v>403422.74</v>
      </c>
      <c r="E4" s="7" t="n">
        <v>20.14</v>
      </c>
      <c r="F4" s="8" t="n">
        <v>80</v>
      </c>
      <c r="G4" s="7" t="n">
        <v>22.55</v>
      </c>
      <c r="H4" s="8" t="n">
        <v>35</v>
      </c>
      <c r="I4" s="7" t="n">
        <v>4.96524329692155</v>
      </c>
      <c r="J4" s="9" t="n">
        <v>0.16</v>
      </c>
      <c r="K4" s="4"/>
      <c r="L4" s="4"/>
      <c r="M4" s="9"/>
    </row>
    <row r="5" customFormat="false" ht="15" hidden="false" customHeight="false" outlineLevel="0" collapsed="false">
      <c r="A5" s="4" t="s">
        <v>22</v>
      </c>
      <c r="B5" s="4" t="s">
        <v>19</v>
      </c>
      <c r="C5" s="5" t="n">
        <v>1209</v>
      </c>
      <c r="D5" s="6" t="n">
        <v>376089.13</v>
      </c>
      <c r="E5" s="7" t="n">
        <v>13.55</v>
      </c>
      <c r="F5" s="8" t="n">
        <v>50</v>
      </c>
      <c r="G5" s="7" t="n">
        <v>22.24</v>
      </c>
      <c r="H5" s="8" t="n">
        <v>30</v>
      </c>
      <c r="I5" s="7" t="n">
        <v>7.38007380073801</v>
      </c>
      <c r="J5" s="9" t="n">
        <v>0.08</v>
      </c>
      <c r="K5" s="4"/>
      <c r="L5" s="4"/>
      <c r="M5" s="9"/>
    </row>
    <row r="6" customFormat="false" ht="15" hidden="false" customHeight="false" outlineLevel="0" collapsed="false">
      <c r="A6" s="4" t="s">
        <v>23</v>
      </c>
      <c r="B6" s="4" t="s">
        <v>24</v>
      </c>
      <c r="C6" s="5" t="n">
        <v>83.18</v>
      </c>
      <c r="D6" s="6" t="n">
        <v>89427.88</v>
      </c>
      <c r="E6" s="7" t="n">
        <v>9.59</v>
      </c>
      <c r="F6" s="8" t="n">
        <v>40</v>
      </c>
      <c r="G6" s="7" t="n">
        <v>5.35</v>
      </c>
      <c r="H6" s="8" t="n">
        <v>10</v>
      </c>
      <c r="I6" s="7" t="n">
        <v>10.4275286757039</v>
      </c>
      <c r="J6" s="9" t="n">
        <v>2.52</v>
      </c>
      <c r="K6" s="4"/>
      <c r="L6" s="4"/>
      <c r="M6" s="9"/>
    </row>
    <row r="7" customFormat="false" ht="15" hidden="false" customHeight="false" outlineLevel="0" collapsed="false">
      <c r="A7" s="4" t="s">
        <v>25</v>
      </c>
      <c r="B7" s="4" t="s">
        <v>24</v>
      </c>
      <c r="C7" s="5" t="n">
        <v>320.7</v>
      </c>
      <c r="D7" s="6" t="n">
        <v>79479.71</v>
      </c>
      <c r="E7" s="7" t="n">
        <v>16.98</v>
      </c>
      <c r="F7" s="8" t="n">
        <v>70</v>
      </c>
      <c r="G7" s="7" t="n">
        <v>36.78</v>
      </c>
      <c r="H7" s="8" t="n">
        <v>75</v>
      </c>
      <c r="I7" s="7" t="n">
        <v>5.88928150765607</v>
      </c>
      <c r="J7" s="9" t="n">
        <v>0.37</v>
      </c>
      <c r="K7" s="4" t="n">
        <v>162</v>
      </c>
      <c r="L7" s="4" t="n">
        <v>11.6</v>
      </c>
      <c r="M7" s="9" t="n">
        <v>1.97962962962963</v>
      </c>
    </row>
    <row r="8" customFormat="false" ht="15" hidden="false" customHeight="false" outlineLevel="0" collapsed="false">
      <c r="A8" s="4" t="s">
        <v>26</v>
      </c>
      <c r="B8" s="4" t="s">
        <v>24</v>
      </c>
      <c r="C8" s="5" t="n">
        <v>885</v>
      </c>
      <c r="D8" s="6" t="n">
        <v>69094.81</v>
      </c>
      <c r="E8" s="7" t="n">
        <v>52.25</v>
      </c>
      <c r="F8" s="8" t="n">
        <v>95</v>
      </c>
      <c r="G8" s="7" t="n">
        <v>71.68</v>
      </c>
      <c r="H8" s="8" t="n">
        <v>90</v>
      </c>
      <c r="I8" s="7" t="n">
        <v>1.91387559808612</v>
      </c>
      <c r="J8" s="9" t="n">
        <v>0.17</v>
      </c>
      <c r="K8" s="4"/>
      <c r="L8" s="4"/>
      <c r="M8" s="9"/>
    </row>
    <row r="9" customFormat="false" ht="15" hidden="false" customHeight="false" outlineLevel="0" collapsed="false">
      <c r="A9" s="4" t="s">
        <v>27</v>
      </c>
      <c r="B9" s="4" t="s">
        <v>24</v>
      </c>
      <c r="C9" s="5" t="n">
        <v>79.46</v>
      </c>
      <c r="D9" s="6" t="n">
        <v>68482.96</v>
      </c>
      <c r="E9" s="7" t="n">
        <v>30.45</v>
      </c>
      <c r="F9" s="8" t="n">
        <v>90</v>
      </c>
      <c r="G9" s="7" t="n">
        <v>132.39</v>
      </c>
      <c r="H9" s="8" t="n">
        <v>100</v>
      </c>
      <c r="I9" s="7" t="n">
        <v>3.28407224958949</v>
      </c>
      <c r="J9" s="9" t="n">
        <v>0.31</v>
      </c>
      <c r="K9" s="4"/>
      <c r="L9" s="4"/>
      <c r="M9" s="9"/>
    </row>
    <row r="10" customFormat="false" ht="15" hidden="false" customHeight="false" outlineLevel="0" collapsed="false">
      <c r="A10" s="4" t="s">
        <v>28</v>
      </c>
      <c r="B10" s="4" t="s">
        <v>24</v>
      </c>
      <c r="C10" s="5" t="n">
        <v>20.71</v>
      </c>
      <c r="D10" s="6" t="n">
        <v>64944.15</v>
      </c>
      <c r="E10" s="7" t="n">
        <v>17.2</v>
      </c>
      <c r="F10" s="8" t="n">
        <v>75</v>
      </c>
      <c r="G10" s="7" t="n">
        <v>32.54</v>
      </c>
      <c r="H10" s="8" t="n">
        <v>55</v>
      </c>
      <c r="I10" s="7" t="n">
        <v>5.81395348837209</v>
      </c>
      <c r="J10" s="9" t="n">
        <v>0</v>
      </c>
      <c r="K10" s="4"/>
      <c r="L10" s="4"/>
      <c r="M10" s="9"/>
    </row>
    <row r="11" customFormat="false" ht="15" hidden="false" customHeight="false" outlineLevel="0" collapsed="false">
      <c r="A11" s="4" t="s">
        <v>29</v>
      </c>
      <c r="B11" s="4" t="s">
        <v>24</v>
      </c>
      <c r="C11" s="5" t="n">
        <v>402</v>
      </c>
      <c r="D11" s="6" t="n">
        <v>62591.33</v>
      </c>
      <c r="E11" s="7" t="n">
        <v>71.47</v>
      </c>
      <c r="F11" s="8" t="n">
        <v>100</v>
      </c>
      <c r="G11" s="7" t="n">
        <v>26.64</v>
      </c>
      <c r="H11" s="8" t="n">
        <v>50</v>
      </c>
      <c r="I11" s="7" t="n">
        <v>1.399188470687</v>
      </c>
      <c r="J11" s="9" t="n">
        <v>0.25</v>
      </c>
      <c r="K11" s="4"/>
      <c r="L11" s="4"/>
      <c r="M11" s="9"/>
    </row>
    <row r="12" customFormat="false" ht="15" hidden="false" customHeight="false" outlineLevel="0" collapsed="false">
      <c r="A12" s="4" t="s">
        <v>30</v>
      </c>
      <c r="B12" s="4" t="s">
        <v>31</v>
      </c>
      <c r="C12" s="5" t="n">
        <v>318.8</v>
      </c>
      <c r="D12" s="6" t="n">
        <v>30808.88</v>
      </c>
      <c r="E12" s="7" t="n">
        <v>11.22</v>
      </c>
      <c r="F12" s="8" t="n">
        <v>45</v>
      </c>
      <c r="G12" s="7" t="n">
        <v>44.92</v>
      </c>
      <c r="H12" s="8" t="n">
        <v>85</v>
      </c>
      <c r="I12" s="7" t="n">
        <v>8.9126559714795</v>
      </c>
      <c r="J12" s="9" t="n">
        <v>0.82</v>
      </c>
      <c r="K12" s="4" t="n">
        <v>146</v>
      </c>
      <c r="L12" s="4" t="n">
        <v>19.1</v>
      </c>
      <c r="M12" s="9" t="n">
        <v>2.18356164383562</v>
      </c>
    </row>
    <row r="13" customFormat="false" ht="15" hidden="false" customHeight="false" outlineLevel="0" collapsed="false">
      <c r="A13" s="4" t="s">
        <v>32</v>
      </c>
      <c r="B13" s="4" t="s">
        <v>31</v>
      </c>
      <c r="C13" s="5" t="n">
        <v>185.31</v>
      </c>
      <c r="D13" s="6" t="n">
        <v>29773.93</v>
      </c>
      <c r="E13" s="7" t="n">
        <v>22</v>
      </c>
      <c r="F13" s="8" t="n">
        <v>85</v>
      </c>
      <c r="G13" s="7" t="n">
        <v>34.87</v>
      </c>
      <c r="H13" s="8" t="n">
        <v>60</v>
      </c>
      <c r="I13" s="7" t="n">
        <v>4.54545454545455</v>
      </c>
      <c r="J13" s="9" t="n">
        <v>0.81</v>
      </c>
      <c r="K13" s="4"/>
      <c r="L13" s="4"/>
      <c r="M13" s="9"/>
    </row>
    <row r="14" customFormat="false" ht="15" hidden="false" customHeight="false" outlineLevel="0" collapsed="false">
      <c r="A14" s="4" t="s">
        <v>33</v>
      </c>
      <c r="B14" s="4" t="s">
        <v>31</v>
      </c>
      <c r="C14" s="5" t="n">
        <v>214.85</v>
      </c>
      <c r="D14" s="6" t="n">
        <v>21286.08</v>
      </c>
      <c r="E14" s="7" t="n">
        <v>15.18</v>
      </c>
      <c r="F14" s="8" t="n">
        <v>60</v>
      </c>
      <c r="G14" s="7" t="n">
        <v>25.06</v>
      </c>
      <c r="H14" s="8" t="n">
        <v>40</v>
      </c>
      <c r="I14" s="7" t="n">
        <v>6.58761528326746</v>
      </c>
      <c r="J14" s="9" t="n">
        <v>0.93</v>
      </c>
      <c r="K14" s="4"/>
      <c r="L14" s="4"/>
      <c r="M14" s="9"/>
    </row>
    <row r="15" customFormat="false" ht="15" hidden="false" customHeight="false" outlineLevel="0" collapsed="false">
      <c r="A15" s="4" t="s">
        <v>34</v>
      </c>
      <c r="B15" s="4" t="s">
        <v>31</v>
      </c>
      <c r="C15" s="5" t="n">
        <v>138.4</v>
      </c>
      <c r="D15" s="6" t="n">
        <v>15240.37</v>
      </c>
      <c r="E15" s="7" t="n">
        <v>6.61</v>
      </c>
      <c r="F15" s="8" t="n">
        <v>5</v>
      </c>
      <c r="G15" s="7" t="n">
        <v>-11.5</v>
      </c>
      <c r="H15" s="8" t="n">
        <v>5</v>
      </c>
      <c r="I15" s="7" t="n">
        <v>15.1285930408472</v>
      </c>
      <c r="J15" s="9" t="n">
        <v>1.55</v>
      </c>
      <c r="K15" s="4"/>
      <c r="L15" s="4"/>
      <c r="M15" s="9"/>
    </row>
    <row r="16" customFormat="false" ht="15" hidden="false" customHeight="false" outlineLevel="0" collapsed="false">
      <c r="A16" s="4" t="s">
        <v>35</v>
      </c>
      <c r="B16" s="4" t="s">
        <v>31</v>
      </c>
      <c r="C16" s="5" t="n">
        <v>863.55</v>
      </c>
      <c r="D16" s="6" t="n">
        <v>13662.55</v>
      </c>
      <c r="E16" s="7" t="n">
        <v>9.46</v>
      </c>
      <c r="F16" s="8" t="n">
        <v>30</v>
      </c>
      <c r="G16" s="7" t="n">
        <v>34.97</v>
      </c>
      <c r="H16" s="8" t="n">
        <v>65</v>
      </c>
      <c r="I16" s="7" t="n">
        <v>10.5708245243129</v>
      </c>
      <c r="J16" s="9" t="n">
        <v>1.45</v>
      </c>
      <c r="K16" s="4"/>
      <c r="L16" s="4"/>
      <c r="M16" s="9"/>
    </row>
    <row r="17" customFormat="false" ht="15" hidden="false" customHeight="false" outlineLevel="0" collapsed="false">
      <c r="A17" s="4" t="s">
        <v>36</v>
      </c>
      <c r="B17" s="4" t="s">
        <v>31</v>
      </c>
      <c r="C17" s="5" t="n">
        <v>48.72</v>
      </c>
      <c r="D17" s="6" t="n">
        <v>12756.98</v>
      </c>
      <c r="E17" s="7" t="n">
        <v>8.44</v>
      </c>
      <c r="F17" s="8" t="n">
        <v>20</v>
      </c>
      <c r="G17" s="7" t="n">
        <v>17.29</v>
      </c>
      <c r="H17" s="8" t="n">
        <v>20</v>
      </c>
      <c r="I17" s="7" t="n">
        <v>11.8483412322275</v>
      </c>
      <c r="J17" s="9" t="n">
        <v>0.92</v>
      </c>
      <c r="K17" s="4"/>
      <c r="L17" s="4"/>
      <c r="M17" s="9"/>
    </row>
    <row r="18" customFormat="false" ht="15" hidden="false" customHeight="false" outlineLevel="0" collapsed="false">
      <c r="A18" s="4" t="s">
        <v>37</v>
      </c>
      <c r="B18" s="4" t="s">
        <v>31</v>
      </c>
      <c r="C18" s="5" t="n">
        <v>322.75</v>
      </c>
      <c r="D18" s="6" t="n">
        <v>12204.86</v>
      </c>
      <c r="E18" s="7" t="n">
        <v>8.49</v>
      </c>
      <c r="F18" s="8" t="n">
        <v>25</v>
      </c>
      <c r="G18" s="7" t="n">
        <v>43.28</v>
      </c>
      <c r="H18" s="8" t="n">
        <v>80</v>
      </c>
      <c r="I18" s="7" t="n">
        <v>11.7785630153121</v>
      </c>
      <c r="J18" s="9" t="n">
        <v>1.55</v>
      </c>
      <c r="K18" s="4"/>
      <c r="L18" s="4"/>
      <c r="M18" s="9"/>
    </row>
    <row r="19" customFormat="false" ht="15" hidden="false" customHeight="false" outlineLevel="0" collapsed="false">
      <c r="A19" s="4" t="s">
        <v>38</v>
      </c>
      <c r="B19" s="4" t="s">
        <v>31</v>
      </c>
      <c r="C19" s="5" t="n">
        <v>202.2</v>
      </c>
      <c r="D19" s="6" t="n">
        <v>6517.91</v>
      </c>
      <c r="E19" s="7" t="n">
        <v>8.27</v>
      </c>
      <c r="F19" s="8" t="n">
        <v>15</v>
      </c>
      <c r="G19" s="7" t="n">
        <v>35.57</v>
      </c>
      <c r="H19" s="8" t="n">
        <v>70</v>
      </c>
      <c r="I19" s="7" t="n">
        <v>12.0918984280532</v>
      </c>
      <c r="J19" s="9" t="n">
        <v>0.72</v>
      </c>
      <c r="K19" s="4"/>
      <c r="L19" s="4"/>
      <c r="M19" s="9"/>
    </row>
    <row r="20" customFormat="false" ht="15" hidden="false" customHeight="false" outlineLevel="0" collapsed="false">
      <c r="A20" s="4" t="s">
        <v>39</v>
      </c>
      <c r="B20" s="4" t="s">
        <v>31</v>
      </c>
      <c r="C20" s="5" t="n">
        <v>316.2</v>
      </c>
      <c r="D20" s="6" t="n">
        <v>5468.73</v>
      </c>
      <c r="E20" s="7" t="n">
        <v>8.23</v>
      </c>
      <c r="F20" s="8" t="n">
        <v>10</v>
      </c>
      <c r="G20" s="7" t="n">
        <v>26.51</v>
      </c>
      <c r="H20" s="8" t="n">
        <v>45</v>
      </c>
      <c r="I20" s="7" t="n">
        <v>12.1506682867558</v>
      </c>
      <c r="J20" s="9" t="n">
        <v>0</v>
      </c>
      <c r="K20" s="4"/>
      <c r="L20" s="4"/>
      <c r="M20" s="9"/>
    </row>
    <row r="21" customFormat="false" ht="15" hidden="false" customHeight="false" outlineLevel="0" collapsed="false">
      <c r="A21" s="4" t="s">
        <v>40</v>
      </c>
      <c r="B21" s="4" t="s">
        <v>31</v>
      </c>
      <c r="C21" s="5" t="n">
        <v>28.1</v>
      </c>
      <c r="D21" s="6" t="n">
        <v>1104.01</v>
      </c>
      <c r="E21" s="7" t="n">
        <v>9.56</v>
      </c>
      <c r="F21" s="8" t="n">
        <v>35</v>
      </c>
      <c r="G21" s="7" t="n">
        <v>104.52</v>
      </c>
      <c r="H21" s="8" t="n">
        <v>95</v>
      </c>
      <c r="I21" s="7" t="n">
        <v>10.4602510460251</v>
      </c>
      <c r="J21" s="9" t="n">
        <v>0</v>
      </c>
      <c r="K21" s="4"/>
      <c r="L21" s="4"/>
      <c r="M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3" t="s">
        <v>5</v>
      </c>
      <c r="B1" s="3" t="s">
        <v>11</v>
      </c>
      <c r="C1" s="3" t="s">
        <v>9</v>
      </c>
      <c r="D1" s="3" t="s">
        <v>41</v>
      </c>
      <c r="E1" s="3" t="s">
        <v>42</v>
      </c>
      <c r="F1" s="3" t="s">
        <v>43</v>
      </c>
    </row>
    <row r="2" customFormat="false" ht="15" hidden="false" customHeight="false" outlineLevel="0" collapsed="false">
      <c r="A2" s="4" t="s">
        <v>34</v>
      </c>
      <c r="B2" s="7" t="n">
        <v>-11.5</v>
      </c>
      <c r="C2" s="7" t="n">
        <v>6.61</v>
      </c>
      <c r="D2" s="7" t="n">
        <v>13.6855041505573</v>
      </c>
      <c r="E2" s="7" t="n">
        <v>-7.07550415055728</v>
      </c>
      <c r="F2" s="10" t="b">
        <f aca="false">FALSE()</f>
        <v>0</v>
      </c>
    </row>
    <row r="3" customFormat="false" ht="15" hidden="false" customHeight="false" outlineLevel="0" collapsed="false">
      <c r="A3" s="4" t="s">
        <v>39</v>
      </c>
      <c r="B3" s="7" t="n">
        <v>26.51</v>
      </c>
      <c r="C3" s="7" t="n">
        <v>8.23</v>
      </c>
      <c r="D3" s="7" t="n">
        <v>13.3024392916219</v>
      </c>
      <c r="E3" s="7" t="n">
        <v>-5.07243929162186</v>
      </c>
      <c r="F3" s="10" t="b">
        <f aca="false">TRUE()</f>
        <v>1</v>
      </c>
    </row>
    <row r="4" customFormat="false" ht="15" hidden="false" customHeight="false" outlineLevel="0" collapsed="false">
      <c r="A4" s="4" t="s">
        <v>36</v>
      </c>
      <c r="B4" s="7" t="n">
        <v>17.29</v>
      </c>
      <c r="C4" s="7" t="n">
        <v>8.44</v>
      </c>
      <c r="D4" s="7" t="n">
        <v>13.3953584707691</v>
      </c>
      <c r="E4" s="7" t="n">
        <v>-4.95535847076905</v>
      </c>
      <c r="F4" s="10" t="b">
        <f aca="false">TRUE()</f>
        <v>1</v>
      </c>
    </row>
    <row r="5" customFormat="false" ht="15" hidden="false" customHeight="false" outlineLevel="0" collapsed="false">
      <c r="A5" s="4" t="s">
        <v>38</v>
      </c>
      <c r="B5" s="7" t="n">
        <v>35.57</v>
      </c>
      <c r="C5" s="7" t="n">
        <v>8.27</v>
      </c>
      <c r="D5" s="7" t="n">
        <v>13.2111325928069</v>
      </c>
      <c r="E5" s="7" t="n">
        <v>-4.94113259280695</v>
      </c>
      <c r="F5" s="10" t="b">
        <f aca="false">TRUE()</f>
        <v>1</v>
      </c>
    </row>
    <row r="6" customFormat="false" ht="15" hidden="false" customHeight="false" outlineLevel="0" collapsed="false">
      <c r="A6" s="4" t="s">
        <v>37</v>
      </c>
      <c r="B6" s="7" t="n">
        <v>43.28</v>
      </c>
      <c r="C6" s="7" t="n">
        <v>8.49</v>
      </c>
      <c r="D6" s="7" t="n">
        <v>13.1334311967956</v>
      </c>
      <c r="E6" s="7" t="n">
        <v>-4.64343119679558</v>
      </c>
      <c r="F6" s="10" t="b">
        <f aca="false">TRUE()</f>
        <v>1</v>
      </c>
    </row>
    <row r="7" customFormat="false" ht="15" hidden="false" customHeight="false" outlineLevel="0" collapsed="false">
      <c r="A7" s="4" t="s">
        <v>23</v>
      </c>
      <c r="B7" s="7" t="n">
        <v>5.35</v>
      </c>
      <c r="C7" s="7" t="n">
        <v>9.59</v>
      </c>
      <c r="D7" s="7" t="n">
        <v>13.5156898155649</v>
      </c>
      <c r="E7" s="7" t="n">
        <v>-3.92568981556486</v>
      </c>
      <c r="F7" s="10" t="b">
        <f aca="false">TRUE()</f>
        <v>1</v>
      </c>
    </row>
    <row r="8" customFormat="false" ht="15" hidden="false" customHeight="false" outlineLevel="0" collapsed="false">
      <c r="A8" s="4" t="s">
        <v>35</v>
      </c>
      <c r="B8" s="7" t="n">
        <v>34.97</v>
      </c>
      <c r="C8" s="7" t="n">
        <v>9.46</v>
      </c>
      <c r="D8" s="7" t="n">
        <v>13.217179394053</v>
      </c>
      <c r="E8" s="7" t="n">
        <v>-3.75717939405296</v>
      </c>
      <c r="F8" s="10" t="b">
        <f aca="false">TRUE()</f>
        <v>1</v>
      </c>
    </row>
    <row r="9" customFormat="false" ht="15" hidden="false" customHeight="false" outlineLevel="0" collapsed="false">
      <c r="A9" s="4" t="s">
        <v>40</v>
      </c>
      <c r="B9" s="7" t="n">
        <v>104.52</v>
      </c>
      <c r="C9" s="7" t="n">
        <v>9.56</v>
      </c>
      <c r="D9" s="7" t="n">
        <v>12.5162543496184</v>
      </c>
      <c r="E9" s="7" t="n">
        <v>-2.95625434961838</v>
      </c>
      <c r="F9" s="10" t="b">
        <f aca="false">FALSE()</f>
        <v>0</v>
      </c>
    </row>
    <row r="10" customFormat="false" ht="15" hidden="false" customHeight="false" outlineLevel="0" collapsed="false">
      <c r="A10" s="4" t="s">
        <v>30</v>
      </c>
      <c r="B10" s="7" t="n">
        <v>44.92</v>
      </c>
      <c r="C10" s="7" t="n">
        <v>11.22</v>
      </c>
      <c r="D10" s="7" t="n">
        <v>13.1169032733898</v>
      </c>
      <c r="E10" s="7" t="n">
        <v>-1.89690327338978</v>
      </c>
      <c r="F10" s="10" t="b">
        <f aca="false">TRUE()</f>
        <v>1</v>
      </c>
    </row>
    <row r="11" customFormat="false" ht="15" hidden="false" customHeight="false" outlineLevel="0" collapsed="false">
      <c r="A11" s="4" t="s">
        <v>22</v>
      </c>
      <c r="B11" s="7" t="n">
        <v>22.24</v>
      </c>
      <c r="C11" s="7" t="n">
        <v>13.55</v>
      </c>
      <c r="D11" s="7" t="n">
        <v>13.3454723604894</v>
      </c>
      <c r="E11" s="7" t="n">
        <v>0.204527639510626</v>
      </c>
      <c r="F11" s="10" t="b">
        <f aca="false">TRUE()</f>
        <v>1</v>
      </c>
    </row>
    <row r="12" customFormat="false" ht="15" hidden="false" customHeight="false" outlineLevel="0" collapsed="false">
      <c r="A12" s="4" t="s">
        <v>18</v>
      </c>
      <c r="B12" s="7" t="n">
        <v>18.37</v>
      </c>
      <c r="C12" s="7" t="n">
        <v>14.06</v>
      </c>
      <c r="D12" s="7" t="n">
        <v>13.3844742285262</v>
      </c>
      <c r="E12" s="7" t="n">
        <v>0.675525771473792</v>
      </c>
      <c r="F12" s="10" t="b">
        <f aca="false">TRUE()</f>
        <v>1</v>
      </c>
    </row>
    <row r="13" customFormat="false" ht="15" hidden="false" customHeight="false" outlineLevel="0" collapsed="false">
      <c r="A13" s="4" t="s">
        <v>33</v>
      </c>
      <c r="B13" s="7" t="n">
        <v>25.06</v>
      </c>
      <c r="C13" s="7" t="n">
        <v>15.18</v>
      </c>
      <c r="D13" s="7" t="n">
        <v>13.3170523946331</v>
      </c>
      <c r="E13" s="7" t="n">
        <v>1.86294760536693</v>
      </c>
      <c r="F13" s="10" t="b">
        <f aca="false">TRUE()</f>
        <v>1</v>
      </c>
    </row>
    <row r="14" customFormat="false" ht="15" hidden="false" customHeight="false" outlineLevel="0" collapsed="false">
      <c r="A14" s="4" t="s">
        <v>20</v>
      </c>
      <c r="B14" s="7" t="n">
        <v>13.88</v>
      </c>
      <c r="C14" s="7" t="n">
        <v>16.56</v>
      </c>
      <c r="D14" s="7" t="n">
        <v>13.4297244578506</v>
      </c>
      <c r="E14" s="7" t="n">
        <v>3.1302755421494</v>
      </c>
      <c r="F14" s="10" t="b">
        <f aca="false">TRUE()</f>
        <v>1</v>
      </c>
    </row>
    <row r="15" customFormat="false" ht="15" hidden="false" customHeight="false" outlineLevel="0" collapsed="false">
      <c r="A15" s="4" t="s">
        <v>25</v>
      </c>
      <c r="B15" s="7" t="n">
        <v>36.78</v>
      </c>
      <c r="C15" s="7" t="n">
        <v>16.98</v>
      </c>
      <c r="D15" s="7" t="n">
        <v>13.1989382102941</v>
      </c>
      <c r="E15" s="7" t="n">
        <v>3.78106178970587</v>
      </c>
      <c r="F15" s="10" t="b">
        <f aca="false">TRUE()</f>
        <v>1</v>
      </c>
    </row>
    <row r="16" customFormat="false" ht="15" hidden="false" customHeight="false" outlineLevel="0" collapsed="false">
      <c r="A16" s="4" t="s">
        <v>28</v>
      </c>
      <c r="B16" s="7" t="n">
        <v>32.54</v>
      </c>
      <c r="C16" s="7" t="n">
        <v>17.2</v>
      </c>
      <c r="D16" s="7" t="n">
        <v>13.2416689390994</v>
      </c>
      <c r="E16" s="7" t="n">
        <v>3.95833106090065</v>
      </c>
      <c r="F16" s="10" t="b">
        <f aca="false">TRUE()</f>
        <v>1</v>
      </c>
    </row>
    <row r="17" customFormat="false" ht="15" hidden="false" customHeight="false" outlineLevel="0" collapsed="false">
      <c r="A17" s="4" t="s">
        <v>21</v>
      </c>
      <c r="B17" s="7" t="n">
        <v>22.55</v>
      </c>
      <c r="C17" s="7" t="n">
        <v>20.14</v>
      </c>
      <c r="D17" s="7" t="n">
        <v>13.3423481798456</v>
      </c>
      <c r="E17" s="7" t="n">
        <v>6.79765182015441</v>
      </c>
      <c r="F17" s="10" t="b">
        <f aca="false">TRUE()</f>
        <v>1</v>
      </c>
    </row>
    <row r="18" customFormat="false" ht="15" hidden="false" customHeight="false" outlineLevel="0" collapsed="false">
      <c r="A18" s="4" t="s">
        <v>32</v>
      </c>
      <c r="B18" s="7" t="n">
        <v>34.87</v>
      </c>
      <c r="C18" s="7" t="n">
        <v>22</v>
      </c>
      <c r="D18" s="7" t="n">
        <v>13.2181871942606</v>
      </c>
      <c r="E18" s="7" t="n">
        <v>8.78181280573937</v>
      </c>
      <c r="F18" s="10" t="b">
        <f aca="false">TRUE()</f>
        <v>1</v>
      </c>
    </row>
    <row r="19" customFormat="false" ht="15" hidden="false" customHeight="false" outlineLevel="0" collapsed="false">
      <c r="A19" s="4" t="s">
        <v>27</v>
      </c>
      <c r="B19" s="7" t="n">
        <v>132.39</v>
      </c>
      <c r="C19" s="7" t="n">
        <v>30.45</v>
      </c>
      <c r="D19" s="7" t="n">
        <v>12.2353804317407</v>
      </c>
      <c r="E19" s="7" t="n">
        <v>18.2146195682593</v>
      </c>
      <c r="F19" s="10" t="b">
        <f aca="false">FALSE()</f>
        <v>0</v>
      </c>
    </row>
    <row r="20" customFormat="false" ht="15" hidden="false" customHeight="false" outlineLevel="0" collapsed="false">
      <c r="A20" s="4" t="s">
        <v>26</v>
      </c>
      <c r="B20" s="7" t="n">
        <v>71.68</v>
      </c>
      <c r="C20" s="7" t="n">
        <v>52.25</v>
      </c>
      <c r="D20" s="7" t="n">
        <v>12.8472159378173</v>
      </c>
      <c r="E20" s="7" t="n">
        <v>39.4027840621828</v>
      </c>
      <c r="F20" s="10" t="b">
        <f aca="false">FALSE()</f>
        <v>0</v>
      </c>
    </row>
    <row r="21" customFormat="false" ht="15" hidden="false" customHeight="false" outlineLevel="0" collapsed="false">
      <c r="A21" s="4" t="s">
        <v>29</v>
      </c>
      <c r="B21" s="7" t="n">
        <v>26.64</v>
      </c>
      <c r="C21" s="7" t="n">
        <v>71.47</v>
      </c>
      <c r="D21" s="7" t="n">
        <v>13.3011291513519</v>
      </c>
      <c r="E21" s="7" t="n">
        <v>58.1688708486481</v>
      </c>
      <c r="F21" s="10" t="b">
        <f aca="false">FALSE()</f>
        <v>0</v>
      </c>
    </row>
    <row r="23" customFormat="false" ht="15" hidden="false" customHeight="false" outlineLevel="0" collapsed="false">
      <c r="A23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9"/>
  </cols>
  <sheetData>
    <row r="1" customFormat="false" ht="15" hidden="false" customHeight="false" outlineLevel="0" collapsed="false">
      <c r="A1" s="11" t="s">
        <v>45</v>
      </c>
      <c r="B1" s="11" t="s">
        <v>46</v>
      </c>
      <c r="C1" s="11" t="s">
        <v>47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</row>
    <row r="2" customFormat="false" ht="15" hidden="false" customHeight="false" outlineLevel="0" collapsed="false">
      <c r="A2" s="4" t="s">
        <v>59</v>
      </c>
      <c r="B2" s="12" t="n">
        <v>897</v>
      </c>
      <c r="C2" s="12" t="n">
        <v>915</v>
      </c>
      <c r="D2" s="12" t="n">
        <v>1001</v>
      </c>
      <c r="E2" s="12" t="n">
        <v>998</v>
      </c>
      <c r="F2" s="12" t="n">
        <v>1025</v>
      </c>
      <c r="G2" s="12" t="n">
        <v>1063</v>
      </c>
      <c r="H2" s="12" t="n">
        <v>1082</v>
      </c>
      <c r="I2" s="12" t="n">
        <v>1089</v>
      </c>
      <c r="J2" s="12" t="n">
        <v>1080</v>
      </c>
      <c r="K2" s="12" t="n">
        <v>1261</v>
      </c>
      <c r="L2" s="12" t="n">
        <v>1239</v>
      </c>
      <c r="M2" s="12" t="n">
        <v>1359</v>
      </c>
      <c r="N2" s="12" t="n">
        <v>1422</v>
      </c>
    </row>
    <row r="3" customFormat="false" ht="15" hidden="false" customHeight="false" outlineLevel="0" collapsed="false">
      <c r="A3" s="4" t="s">
        <v>60</v>
      </c>
      <c r="B3" s="12" t="n">
        <v>333</v>
      </c>
      <c r="C3" s="12" t="n">
        <v>339</v>
      </c>
      <c r="D3" s="12" t="n">
        <v>358</v>
      </c>
      <c r="E3" s="12" t="n">
        <v>626</v>
      </c>
      <c r="F3" s="12" t="n">
        <v>388</v>
      </c>
      <c r="G3" s="12" t="n">
        <v>469</v>
      </c>
      <c r="H3" s="12" t="n">
        <v>465</v>
      </c>
      <c r="I3" s="12" t="n">
        <v>509</v>
      </c>
      <c r="J3" s="12" t="n">
        <v>447</v>
      </c>
      <c r="K3" s="12" t="n">
        <v>512</v>
      </c>
      <c r="L3" s="12" t="n">
        <v>509</v>
      </c>
      <c r="M3" s="12" t="n">
        <v>616</v>
      </c>
      <c r="N3" s="12" t="n">
        <v>442</v>
      </c>
    </row>
    <row r="4" customFormat="false" ht="15" hidden="false" customHeight="false" outlineLevel="0" collapsed="false">
      <c r="A4" s="4" t="s">
        <v>61</v>
      </c>
      <c r="B4" s="12" t="n">
        <v>489</v>
      </c>
      <c r="C4" s="12" t="n">
        <v>511</v>
      </c>
      <c r="D4" s="12" t="n">
        <v>526</v>
      </c>
      <c r="E4" s="12" t="n">
        <v>573</v>
      </c>
      <c r="F4" s="12" t="n">
        <v>613</v>
      </c>
      <c r="G4" s="12" t="n">
        <v>636</v>
      </c>
      <c r="H4" s="12" t="n">
        <v>669</v>
      </c>
      <c r="I4" s="12" t="n">
        <v>673</v>
      </c>
      <c r="J4" s="12" t="n">
        <v>688</v>
      </c>
      <c r="K4" s="12" t="n">
        <v>743</v>
      </c>
      <c r="L4" s="12" t="n">
        <v>900</v>
      </c>
      <c r="M4" s="12" t="n">
        <v>990</v>
      </c>
      <c r="N4" s="12" t="n">
        <v>1005</v>
      </c>
    </row>
    <row r="5" customFormat="false" ht="15" hidden="false" customHeight="false" outlineLevel="0" collapsed="false">
      <c r="A5" s="4" t="s">
        <v>62</v>
      </c>
      <c r="B5" s="12" t="n">
        <v>359</v>
      </c>
      <c r="C5" s="12" t="n">
        <v>378</v>
      </c>
      <c r="D5" s="12" t="n">
        <v>412</v>
      </c>
      <c r="E5" s="12" t="n">
        <v>456</v>
      </c>
      <c r="F5" s="12" t="n">
        <v>459</v>
      </c>
      <c r="G5" s="12" t="n">
        <v>474</v>
      </c>
      <c r="H5" s="12" t="n">
        <v>496</v>
      </c>
      <c r="I5" s="12" t="n">
        <v>513</v>
      </c>
      <c r="J5" s="12" t="n">
        <v>521</v>
      </c>
      <c r="K5" s="12" t="n">
        <v>574</v>
      </c>
      <c r="L5" s="12" t="n">
        <v>690</v>
      </c>
      <c r="M5" s="12" t="n">
        <v>725</v>
      </c>
      <c r="N5" s="12" t="n">
        <v>756</v>
      </c>
    </row>
    <row r="6" customFormat="false" ht="15" hidden="false" customHeight="false" outlineLevel="0" collapsed="false">
      <c r="A6" s="4" t="s">
        <v>63</v>
      </c>
      <c r="B6" s="13" t="n">
        <v>1.99</v>
      </c>
      <c r="C6" s="13" t="n">
        <v>1.73</v>
      </c>
      <c r="D6" s="13" t="n">
        <v>1.58</v>
      </c>
      <c r="E6" s="13" t="n">
        <v>1.4</v>
      </c>
      <c r="F6" s="13" t="n">
        <v>1.32</v>
      </c>
      <c r="G6" s="13" t="n">
        <v>1.1</v>
      </c>
      <c r="H6" s="13" t="n">
        <v>0.83</v>
      </c>
      <c r="I6" s="13" t="n">
        <v>0.76</v>
      </c>
      <c r="J6" s="13" t="n">
        <v>0.66</v>
      </c>
      <c r="K6" s="13" t="n">
        <v>0.76</v>
      </c>
      <c r="L6" s="13" t="n">
        <v>0.71</v>
      </c>
      <c r="M6" s="13" t="n">
        <v>0.75</v>
      </c>
      <c r="N6" s="13" t="n">
        <v>0.74</v>
      </c>
    </row>
    <row r="7" customFormat="false" ht="15" hidden="false" customHeight="false" outlineLevel="0" collapsed="false">
      <c r="A7" s="4" t="s">
        <v>64</v>
      </c>
      <c r="B7" s="13" t="n">
        <v>0.59</v>
      </c>
      <c r="C7" s="13" t="n">
        <v>0.47</v>
      </c>
      <c r="D7" s="13" t="n">
        <v>0.42</v>
      </c>
      <c r="E7" s="13" t="n">
        <v>0.4</v>
      </c>
      <c r="F7" s="13" t="n">
        <v>0.38</v>
      </c>
      <c r="G7" s="13" t="n">
        <v>0.28</v>
      </c>
      <c r="H7" s="13" t="n">
        <v>0.2</v>
      </c>
      <c r="I7" s="13" t="n">
        <v>0.2</v>
      </c>
      <c r="J7" s="13" t="n">
        <v>0.19</v>
      </c>
      <c r="K7" s="13" t="n">
        <v>0.19</v>
      </c>
      <c r="L7" s="13" t="n">
        <v>0.19</v>
      </c>
      <c r="M7" s="13" t="n">
        <v>0.19</v>
      </c>
      <c r="N7" s="13" t="n">
        <v>0.19</v>
      </c>
    </row>
    <row r="9" customFormat="false" ht="15" hidden="false" customHeight="false" outlineLevel="0" collapsed="false">
      <c r="A9" s="4" t="s">
        <v>65</v>
      </c>
      <c r="F9" s="14" t="n">
        <f aca="false">F2/B2-1</f>
        <v>0.142697881828317</v>
      </c>
      <c r="G9" s="14" t="n">
        <f aca="false">G2/C2-1</f>
        <v>0.161748633879781</v>
      </c>
      <c r="H9" s="14" t="n">
        <f aca="false">H2/D2-1</f>
        <v>0.080919080919081</v>
      </c>
      <c r="I9" s="14" t="n">
        <f aca="false">I2/E2-1</f>
        <v>0.091182364729459</v>
      </c>
      <c r="J9" s="14" t="n">
        <f aca="false">J2/F2-1</f>
        <v>0.0536585365853659</v>
      </c>
      <c r="K9" s="14" t="n">
        <f aca="false">K2/G2-1</f>
        <v>0.186265286923801</v>
      </c>
      <c r="L9" s="14" t="n">
        <f aca="false">L2/H2-1</f>
        <v>0.145101663585952</v>
      </c>
      <c r="M9" s="14" t="n">
        <f aca="false">M2/I2-1</f>
        <v>0.247933884297521</v>
      </c>
      <c r="N9" s="14" t="n">
        <f aca="false">N2/J2-1</f>
        <v>0.316666666666667</v>
      </c>
    </row>
    <row r="10" customFormat="false" ht="15" hidden="false" customHeight="false" outlineLevel="0" collapsed="false">
      <c r="A10" s="4" t="s">
        <v>66</v>
      </c>
      <c r="C10" s="14" t="n">
        <f aca="false">C2/B2-1</f>
        <v>0.020066889632107</v>
      </c>
      <c r="D10" s="14" t="n">
        <f aca="false">D2/C2-1</f>
        <v>0.0939890710382514</v>
      </c>
      <c r="E10" s="14" t="n">
        <f aca="false">E2/D2-1</f>
        <v>-0.00299700299700301</v>
      </c>
      <c r="F10" s="14" t="n">
        <f aca="false">F2/E2-1</f>
        <v>0.0270541082164328</v>
      </c>
      <c r="G10" s="14" t="n">
        <f aca="false">G2/F2-1</f>
        <v>0.0370731707317074</v>
      </c>
      <c r="H10" s="14" t="n">
        <f aca="false">H2/G2-1</f>
        <v>0.0178739416745062</v>
      </c>
      <c r="I10" s="14" t="n">
        <f aca="false">I2/H2-1</f>
        <v>0.00646950092421439</v>
      </c>
      <c r="J10" s="14" t="n">
        <f aca="false">J2/I2-1</f>
        <v>-0.00826446280991733</v>
      </c>
      <c r="K10" s="14" t="n">
        <f aca="false">K2/J2-1</f>
        <v>0.167592592592593</v>
      </c>
      <c r="L10" s="14" t="n">
        <f aca="false">L2/K2-1</f>
        <v>-0.0174464710547185</v>
      </c>
      <c r="M10" s="14" t="n">
        <f aca="false">M2/L2-1</f>
        <v>0.0968523002421307</v>
      </c>
      <c r="N10" s="14" t="n">
        <f aca="false">N2/M2-1</f>
        <v>0.0463576158940398</v>
      </c>
    </row>
    <row r="11" customFormat="false" ht="15" hidden="false" customHeight="false" outlineLevel="0" collapsed="false">
      <c r="A11" s="4" t="s">
        <v>67</v>
      </c>
      <c r="F11" s="14" t="n">
        <f aca="false">F5/B5-1</f>
        <v>0.278551532033426</v>
      </c>
      <c r="G11" s="14" t="n">
        <f aca="false">G5/C5-1</f>
        <v>0.253968253968254</v>
      </c>
      <c r="H11" s="14" t="n">
        <f aca="false">H5/D5-1</f>
        <v>0.203883495145631</v>
      </c>
      <c r="I11" s="14" t="n">
        <f aca="false">I5/E5-1</f>
        <v>0.125</v>
      </c>
      <c r="J11" s="14" t="n">
        <f aca="false">J5/F5-1</f>
        <v>0.135076252723312</v>
      </c>
      <c r="K11" s="14" t="n">
        <f aca="false">K5/G5-1</f>
        <v>0.210970464135021</v>
      </c>
      <c r="L11" s="14" t="n">
        <f aca="false">L5/H5-1</f>
        <v>0.391129032258065</v>
      </c>
      <c r="M11" s="14" t="n">
        <f aca="false">M5/I5-1</f>
        <v>0.413255360623782</v>
      </c>
      <c r="N11" s="14" t="n">
        <f aca="false">N5/J5-1</f>
        <v>0.4510556621881</v>
      </c>
    </row>
    <row r="12" customFormat="false" ht="15" hidden="false" customHeight="false" outlineLevel="0" collapsed="false">
      <c r="A12" s="4" t="s">
        <v>68</v>
      </c>
      <c r="C12" s="14" t="n">
        <f aca="false">C5/B5-1</f>
        <v>0.0529247910863511</v>
      </c>
      <c r="D12" s="14" t="n">
        <f aca="false">D5/C5-1</f>
        <v>0.08994708994709</v>
      </c>
      <c r="E12" s="14" t="n">
        <f aca="false">E5/D5-1</f>
        <v>0.106796116504854</v>
      </c>
      <c r="F12" s="14" t="n">
        <f aca="false">F5/E5-1</f>
        <v>0.00657894736842102</v>
      </c>
      <c r="G12" s="14" t="n">
        <f aca="false">G5/F5-1</f>
        <v>0.0326797385620916</v>
      </c>
      <c r="H12" s="14" t="n">
        <f aca="false">H5/G5-1</f>
        <v>0.0464135021097047</v>
      </c>
      <c r="I12" s="14" t="n">
        <f aca="false">I5/H5-1</f>
        <v>0.034274193548387</v>
      </c>
      <c r="J12" s="14" t="n">
        <f aca="false">J5/I5-1</f>
        <v>0.0155945419103314</v>
      </c>
      <c r="K12" s="14" t="n">
        <f aca="false">K5/J5-1</f>
        <v>0.101727447216891</v>
      </c>
      <c r="L12" s="14" t="n">
        <f aca="false">L5/K5-1</f>
        <v>0.202090592334495</v>
      </c>
      <c r="M12" s="14" t="n">
        <f aca="false">M5/L5-1</f>
        <v>0.0507246376811594</v>
      </c>
      <c r="N12" s="14" t="n">
        <f aca="false">N5/M5-1</f>
        <v>0.0427586206896551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22.35" hidden="false" customHeight="false" outlineLevel="0" collapsed="false">
      <c r="A1" s="15" t="s">
        <v>69</v>
      </c>
      <c r="B1" s="15" t="s">
        <v>70</v>
      </c>
      <c r="C1" s="15" t="s">
        <v>71</v>
      </c>
      <c r="D1" s="15" t="s">
        <v>72</v>
      </c>
      <c r="E1" s="15" t="s">
        <v>73</v>
      </c>
      <c r="F1" s="15" t="s">
        <v>74</v>
      </c>
      <c r="G1" s="15" t="s">
        <v>75</v>
      </c>
      <c r="H1" s="15" t="s">
        <v>76</v>
      </c>
      <c r="I1" s="15" t="s">
        <v>77</v>
      </c>
    </row>
    <row r="2" customFormat="false" ht="15" hidden="false" customHeight="false" outlineLevel="0" collapsed="false">
      <c r="A2" s="6" t="s">
        <v>78</v>
      </c>
      <c r="B2" s="12" t="n">
        <v>5769</v>
      </c>
      <c r="C2" s="12" t="n">
        <v>1422</v>
      </c>
      <c r="D2" s="6" t="n">
        <f aca="false">(B2-C2)/3</f>
        <v>1449</v>
      </c>
      <c r="E2" s="12" t="n">
        <v>1261</v>
      </c>
      <c r="F2" s="16" t="n">
        <f aca="false">D2/E2-1</f>
        <v>0.149088025376685</v>
      </c>
      <c r="G2" s="17"/>
      <c r="H2" s="16" t="str">
        <f aca="false">IF(G2="","",G2/D2-1)</f>
        <v/>
      </c>
      <c r="I2" s="6" t="str">
        <f aca="false">IF(G2="","",IF(H2&gt;0.03,"Beat",IF(H2&lt;-0.03,"Miss","In line")))</f>
        <v/>
      </c>
    </row>
    <row r="3" customFormat="false" ht="15" hidden="false" customHeight="false" outlineLevel="0" collapsed="false">
      <c r="A3" s="6" t="s">
        <v>79</v>
      </c>
      <c r="B3" s="12" t="n">
        <v>2166</v>
      </c>
      <c r="C3" s="12" t="n">
        <v>442</v>
      </c>
      <c r="D3" s="6" t="n">
        <f aca="false">(B3-C3)/3</f>
        <v>574.666666666667</v>
      </c>
      <c r="E3" s="12" t="n">
        <v>512</v>
      </c>
      <c r="F3" s="16" t="n">
        <f aca="false">D3/E3-1</f>
        <v>0.122395833333333</v>
      </c>
      <c r="G3" s="17"/>
      <c r="H3" s="16" t="str">
        <f aca="false">IF(G3="","",G3/D3-1)</f>
        <v/>
      </c>
      <c r="I3" s="6" t="str">
        <f aca="false">IF(G3="","",IF(H3&gt;0.03,"Beat",IF(H3&lt;-0.03,"Miss","In line")))</f>
        <v/>
      </c>
    </row>
    <row r="4" customFormat="false" ht="15" hidden="false" customHeight="false" outlineLevel="0" collapsed="false">
      <c r="A4" s="6" t="s">
        <v>80</v>
      </c>
      <c r="B4" s="12" t="n">
        <v>3986</v>
      </c>
      <c r="C4" s="12" t="n">
        <v>1005</v>
      </c>
      <c r="D4" s="6" t="n">
        <f aca="false">(B4-C4)/3</f>
        <v>993.666666666667</v>
      </c>
      <c r="E4" s="12" t="n">
        <v>743</v>
      </c>
      <c r="F4" s="16" t="n">
        <f aca="false">D4/E4-1</f>
        <v>0.337371018393899</v>
      </c>
      <c r="G4" s="17"/>
      <c r="H4" s="16" t="str">
        <f aca="false">IF(G4="","",G4/D4-1)</f>
        <v/>
      </c>
      <c r="I4" s="6" t="str">
        <f aca="false">IF(G4="","",IF(H4&gt;0.03,"Beat",IF(H4&lt;-0.03,"Miss","In line")))</f>
        <v/>
      </c>
    </row>
    <row r="5" customFormat="false" ht="15" hidden="false" customHeight="false" outlineLevel="0" collapsed="false">
      <c r="A5" s="6" t="s">
        <v>81</v>
      </c>
      <c r="B5" s="12" t="n">
        <v>2990</v>
      </c>
      <c r="C5" s="12" t="n">
        <v>756</v>
      </c>
      <c r="D5" s="6" t="n">
        <f aca="false">(B5-C5)/3</f>
        <v>744.666666666667</v>
      </c>
      <c r="E5" s="12" t="n">
        <v>574</v>
      </c>
      <c r="F5" s="16" t="n">
        <f aca="false">D5/E5-1</f>
        <v>0.29732868757259</v>
      </c>
      <c r="G5" s="17"/>
      <c r="H5" s="16" t="str">
        <f aca="false">IF(G5="","",G5/D5-1)</f>
        <v/>
      </c>
      <c r="I5" s="6" t="str">
        <f aca="false">IF(G5="","",IF(H5&gt;0.03,"Beat",IF(H5&lt;-0.03,"Miss","In line")))</f>
        <v/>
      </c>
    </row>
    <row r="7" customFormat="false" ht="15" hidden="false" customHeight="false" outlineLevel="0" collapsed="false">
      <c r="A7" s="18" t="s">
        <v>82</v>
      </c>
    </row>
    <row r="8" customFormat="false" ht="15" hidden="false" customHeight="false" outlineLevel="0" collapsed="false">
      <c r="A8" s="6" t="s">
        <v>83</v>
      </c>
      <c r="B8" s="6"/>
      <c r="C8" s="6"/>
      <c r="D8" s="6" t="n">
        <v>725</v>
      </c>
      <c r="E8" s="6"/>
      <c r="F8" s="6"/>
      <c r="G8" s="6" t="n">
        <v>756</v>
      </c>
      <c r="H8" s="16" t="n">
        <f aca="false">G8/D8-1</f>
        <v>0.0427586206896551</v>
      </c>
      <c r="I8" s="6" t="str">
        <f aca="false">IF(H8&gt;0.03,"Beat",IF(H8&lt;-0.03,"Miss","In line"))</f>
        <v>Beat</v>
      </c>
    </row>
    <row r="10" customFormat="false" ht="15" hidden="false" customHeight="false" outlineLevel="0" collapsed="false">
      <c r="A10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2026-09-30T19:57:36Z</dcterms:created>
  <dc:creator>openpyxl</dc:creator>
  <dc:description/>
  <dc:language>en-US</dc:language>
  <cp:lastModifiedBy/>
  <dcterms:modified xsi:type="dcterms:W3CDTF">2026-09-30T19:57:36Z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